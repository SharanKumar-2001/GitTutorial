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ran Kumar\Documents\"/>
    </mc:Choice>
  </mc:AlternateContent>
  <bookViews>
    <workbookView xWindow="-108" yWindow="-108" windowWidth="23256" windowHeight="12456" activeTab="1"/>
  </bookViews>
  <sheets>
    <sheet name="sheet1" sheetId="2" r:id="rId1"/>
    <sheet name="Sheet2" sheetId="3" r:id="rId2"/>
    <sheet name="Sheet3" sheetId="4" r:id="rId3"/>
    <sheet name="Sheet4" sheetId="5" r:id="rId4"/>
  </sheets>
  <definedNames>
    <definedName name="_xlchart.0" hidden="1">Sheet2!$E$200</definedName>
    <definedName name="_xlchart.1" hidden="1">Sheet2!$E$201:$E$230</definedName>
    <definedName name="_xlchart.2" hidden="1">Sheet2!$F$200</definedName>
    <definedName name="_xlchart.3" hidden="1">Sheet2!$F$201:$F$230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1" i="3" l="1"/>
  <c r="E231" i="3"/>
  <c r="H191" i="3"/>
  <c r="F140" i="3"/>
  <c r="E140" i="3"/>
  <c r="E126" i="3" l="1"/>
  <c r="F126" i="3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26" i="2"/>
  <c r="G8" i="2" l="1"/>
  <c r="G6" i="2"/>
  <c r="E6" i="2"/>
  <c r="F7" i="2"/>
  <c r="F8" i="2"/>
  <c r="F9" i="2"/>
  <c r="F10" i="2"/>
  <c r="F6" i="2"/>
  <c r="E7" i="2"/>
  <c r="E8" i="2"/>
  <c r="E9" i="2"/>
  <c r="E10" i="2"/>
  <c r="G7" i="2"/>
  <c r="G9" i="2"/>
  <c r="G10" i="2"/>
  <c r="D7" i="2"/>
  <c r="D8" i="2"/>
  <c r="D9" i="2"/>
  <c r="D10" i="2"/>
  <c r="D6" i="2"/>
  <c r="D11" i="2" l="1"/>
  <c r="G11" i="2"/>
  <c r="E11" i="2"/>
  <c r="F11" i="2"/>
</calcChain>
</file>

<file path=xl/sharedStrings.xml><?xml version="1.0" encoding="utf-8"?>
<sst xmlns="http://schemas.openxmlformats.org/spreadsheetml/2006/main" count="61" uniqueCount="46">
  <si>
    <t>TABLE</t>
  </si>
  <si>
    <t>xy</t>
  </si>
  <si>
    <t>Multiplication</t>
  </si>
  <si>
    <t>Subsraction</t>
  </si>
  <si>
    <t>Addition</t>
  </si>
  <si>
    <t>Division</t>
  </si>
  <si>
    <t xml:space="preserve"> numbers</t>
  </si>
  <si>
    <t>Data</t>
  </si>
  <si>
    <t xml:space="preserve">                          </t>
  </si>
  <si>
    <t>no1</t>
  </si>
  <si>
    <t>no2</t>
  </si>
  <si>
    <t>Sum</t>
  </si>
  <si>
    <t>Table values</t>
  </si>
  <si>
    <t xml:space="preserve">                      </t>
  </si>
  <si>
    <t xml:space="preserve">           </t>
  </si>
  <si>
    <t>Age</t>
  </si>
  <si>
    <t>Age group</t>
  </si>
  <si>
    <t xml:space="preserve"> Age group</t>
  </si>
  <si>
    <t>under 20</t>
  </si>
  <si>
    <t>20-30</t>
  </si>
  <si>
    <t>31-40</t>
  </si>
  <si>
    <t>41-50</t>
  </si>
  <si>
    <t>51-60</t>
  </si>
  <si>
    <t>61-70</t>
  </si>
  <si>
    <t>AGE</t>
  </si>
  <si>
    <t>30-50</t>
  </si>
  <si>
    <t>under 30</t>
  </si>
  <si>
    <t>71-80</t>
  </si>
  <si>
    <t>81-90</t>
  </si>
  <si>
    <t>Total</t>
  </si>
  <si>
    <t>S.no</t>
  </si>
  <si>
    <t>Spending Percentage</t>
  </si>
  <si>
    <t>Spending_Score</t>
  </si>
  <si>
    <t>Number of Items Purchased</t>
  </si>
  <si>
    <t>Total Amount (USD)</t>
  </si>
  <si>
    <t>Customer Number</t>
  </si>
  <si>
    <t>Amount</t>
  </si>
  <si>
    <t>Customers</t>
  </si>
  <si>
    <t>101-150</t>
  </si>
  <si>
    <t>More than 200</t>
  </si>
  <si>
    <t>Less than 50</t>
  </si>
  <si>
    <t>50-100</t>
  </si>
  <si>
    <t>151-200</t>
  </si>
  <si>
    <t>Percentage</t>
  </si>
  <si>
    <t>Items</t>
  </si>
  <si>
    <t>Less than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</si>
</sst>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5" borderId="11" applyNumberFormat="0" applyAlignment="0" applyProtection="0"/>
  </cellStyleXfs>
  <cellXfs count="44">
    <xf numFmtId="0" fontId="0" fillId="0" borderId="0" xfId="0"/>
    <xf numFmtId="0" fontId="0" fillId="0" borderId="2" xfId="0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0" fillId="2" borderId="2" xfId="0" applyFill="1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 indent="3"/>
    </xf>
    <xf numFmtId="0" fontId="1" fillId="3" borderId="2" xfId="0" applyFont="1" applyFill="1" applyBorder="1"/>
    <xf numFmtId="0" fontId="0" fillId="2" borderId="9" xfId="0" applyFill="1" applyBorder="1" applyAlignment="1">
      <alignment horizontal="left" vertical="top"/>
    </xf>
    <xf numFmtId="0" fontId="0" fillId="2" borderId="10" xfId="0" applyFill="1" applyBorder="1"/>
    <xf numFmtId="0" fontId="0" fillId="0" borderId="0" xfId="0" applyAlignment="1"/>
    <xf numFmtId="9" fontId="0" fillId="0" borderId="0" xfId="0" applyNumberFormat="1"/>
    <xf numFmtId="0" fontId="5" fillId="4" borderId="0" xfId="1"/>
    <xf numFmtId="0" fontId="0" fillId="0" borderId="0" xfId="0" applyAlignment="1">
      <alignment horizontal="center"/>
    </xf>
    <xf numFmtId="0" fontId="0" fillId="0" borderId="1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5" fillId="4" borderId="2" xfId="1" applyBorder="1" applyAlignment="1">
      <alignment horizontal="center" vertical="center" wrapText="1"/>
    </xf>
    <xf numFmtId="0" fontId="5" fillId="4" borderId="2" xfId="1" applyBorder="1"/>
    <xf numFmtId="17" fontId="0" fillId="0" borderId="2" xfId="0" applyNumberFormat="1" applyBorder="1"/>
    <xf numFmtId="9" fontId="0" fillId="0" borderId="2" xfId="0" applyNumberFormat="1" applyBorder="1"/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5" borderId="12" xfId="2" applyBorder="1" applyAlignment="1">
      <alignment horizontal="center" vertical="center"/>
    </xf>
    <xf numFmtId="0" fontId="6" fillId="5" borderId="13" xfId="2" applyBorder="1" applyAlignment="1">
      <alignment horizontal="center" vertical="center"/>
    </xf>
    <xf numFmtId="0" fontId="5" fillId="4" borderId="12" xfId="1" applyBorder="1" applyAlignment="1">
      <alignment horizontal="center" vertical="center"/>
    </xf>
    <xf numFmtId="0" fontId="5" fillId="4" borderId="13" xfId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5" fillId="4" borderId="2" xfId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5" borderId="2" xfId="2" applyBorder="1" applyAlignment="1">
      <alignment horizontal="center" vertical="center"/>
    </xf>
    <xf numFmtId="9" fontId="6" fillId="5" borderId="2" xfId="2" applyNumberFormat="1" applyBorder="1" applyAlignment="1">
      <alignment horizontal="center" vertical="center"/>
    </xf>
  </cellXfs>
  <cellStyles count="3">
    <cellStyle name="Calculation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</a:p>
        </c:rich>
      </c:tx>
      <c:layout>
        <c:manualLayout>
          <c:xMode val="edge"/>
          <c:yMode val="edge"/>
          <c:x val="0.47599831271091114"/>
          <c:y val="5.610098287263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209737369785305E-2"/>
          <c:y val="0.14738554387288416"/>
          <c:w val="0.90297462817147855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sheet1!$M$6</c:f>
              <c:strCache>
                <c:ptCount val="1"/>
                <c:pt idx="0">
                  <c:v>no1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sheet1!$M$7:$M$12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9-4C42-8113-84B21AB33985}"/>
            </c:ext>
          </c:extLst>
        </c:ser>
        <c:ser>
          <c:idx val="1"/>
          <c:order val="1"/>
          <c:tx>
            <c:strRef>
              <c:f>sheet1!$N$6</c:f>
              <c:strCache>
                <c:ptCount val="1"/>
                <c:pt idx="0">
                  <c:v>no2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sheet1!$N$7:$N$12</c:f>
              <c:numCache>
                <c:formatCode>General</c:formatCode>
                <c:ptCount val="6"/>
                <c:pt idx="0">
                  <c:v>30</c:v>
                </c:pt>
                <c:pt idx="1">
                  <c:v>50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9-4C42-8113-84B21AB339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16043903"/>
        <c:axId val="2116044383"/>
      </c:barChart>
      <c:catAx>
        <c:axId val="2116043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44383"/>
        <c:crosses val="autoZero"/>
        <c:auto val="1"/>
        <c:lblAlgn val="ctr"/>
        <c:lblOffset val="100"/>
        <c:noMultiLvlLbl val="0"/>
      </c:catAx>
      <c:valAx>
        <c:axId val="21160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4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Sheet2!$H$7</c:f>
              <c:strCache>
                <c:ptCount val="1"/>
                <c:pt idx="0">
                  <c:v>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88-4CEB-9A28-048D7C7933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88-4CEB-9A28-048D7C7933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88-4CEB-9A28-048D7C7933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88-4CEB-9A28-048D7C7933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Sheet2!$G$8:$G$11</c:f>
              <c:strCache>
                <c:ptCount val="4"/>
                <c:pt idx="0">
                  <c:v>under 20</c:v>
                </c:pt>
                <c:pt idx="1">
                  <c:v>20-30</c:v>
                </c:pt>
                <c:pt idx="2">
                  <c:v>31-40</c:v>
                </c:pt>
                <c:pt idx="3">
                  <c:v>41-50</c:v>
                </c:pt>
              </c:strCache>
            </c:strRef>
          </c:cat>
          <c:val>
            <c:numRef>
              <c:f>Sheet2!$H$8:$H$11</c:f>
              <c:numCache>
                <c:formatCode>0%</c:formatCode>
                <c:ptCount val="4"/>
                <c:pt idx="0">
                  <c:v>0.02</c:v>
                </c:pt>
                <c:pt idx="1">
                  <c:v>0.11</c:v>
                </c:pt>
                <c:pt idx="2">
                  <c:v>7.0000000000000007E-2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1-4F50-92C8-F6E60CE68E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Spending Percentage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Sheet2!$E$39</c:f>
              <c:strCache>
                <c:ptCount val="1"/>
                <c:pt idx="0">
                  <c:v>Spending_Score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Sheet2!$D$40:$D$45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Sheet2!$E$40:$E$45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A-4CC3-B5D4-C7B6B0B6C816}"/>
            </c:ext>
          </c:extLst>
        </c:ser>
        <c:ser>
          <c:idx val="1"/>
          <c:order val="1"/>
          <c:tx>
            <c:strRef>
              <c:f>Sheet2!$F$39</c:f>
              <c:strCache>
                <c:ptCount val="1"/>
                <c:pt idx="0">
                  <c:v>Spending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Sheet2!$D$40:$D$45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Sheet2!$F$40:$F$45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A-4CC3-B5D4-C7B6B0B6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238520"/>
        <c:axId val="474238848"/>
      </c:barChart>
      <c:catAx>
        <c:axId val="474238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38848"/>
        <c:crosses val="autoZero"/>
        <c:auto val="1"/>
        <c:lblAlgn val="ctr"/>
        <c:lblOffset val="100"/>
        <c:noMultiLvlLbl val="0"/>
      </c:catAx>
      <c:valAx>
        <c:axId val="47423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3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Analysis</a:t>
            </a:r>
            <a:r>
              <a:rPr lang="en-US"/>
              <a:t> </a:t>
            </a:r>
          </a:p>
        </c:rich>
      </c:tx>
      <c:layout/>
      <c:overlay val="0"/>
      <c:spPr>
        <a:gradFill>
          <a:gsLst>
            <a:gs pos="78000">
              <a:srgbClr val="A5D9F1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>
            <a:gsLst>
              <a:gs pos="78000">
                <a:srgbClr val="A5D9F1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Sheet2!$E$134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B9-40C6-B79F-2D226EA105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B9-40C6-B79F-2D226EA105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B9-40C6-B79F-2D226EA105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B9-40C6-B79F-2D226EA105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B9-40C6-B79F-2D226EA10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Sheet2!$C$135:$D$139</c:f>
              <c:multiLvlStrCache>
                <c:ptCount val="5"/>
                <c:lvl>
                  <c:pt idx="0">
                    <c:v>Less than 50</c:v>
                  </c:pt>
                  <c:pt idx="1">
                    <c:v>50-100</c:v>
                  </c:pt>
                  <c:pt idx="2">
                    <c:v>101-150</c:v>
                  </c:pt>
                  <c:pt idx="3">
                    <c:v>151-200</c:v>
                  </c:pt>
                  <c:pt idx="4">
                    <c:v>More than 200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Sheet2!$E$135:$E$139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B9-40C6-B79F-2D226EA1053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Sheet2!$D$200</c:f>
              <c:strCache>
                <c:ptCount val="1"/>
                <c:pt idx="0">
                  <c:v>Customer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Sheet2!$D$201:$D$230</c:f>
              <c:numCache>
                <c:formatCode>General</c:formatCode>
                <c:ptCount val="30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  <c:pt idx="10">
                  <c:v>1011</c:v>
                </c:pt>
                <c:pt idx="11">
                  <c:v>1012</c:v>
                </c:pt>
                <c:pt idx="12">
                  <c:v>1013</c:v>
                </c:pt>
                <c:pt idx="13">
                  <c:v>1014</c:v>
                </c:pt>
                <c:pt idx="14">
                  <c:v>1015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4-4BDC-A8E8-F1BA084D81B8}"/>
            </c:ext>
          </c:extLst>
        </c:ser>
        <c:ser>
          <c:idx val="1"/>
          <c:order val="1"/>
          <c:tx>
            <c:strRef>
              <c:f>Sheet2!$E$200</c:f>
              <c:strCache>
                <c:ptCount val="1"/>
                <c:pt idx="0">
                  <c:v>Number of Items Purchased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Sheet2!$E$201:$E$230</c:f>
              <c:numCache>
                <c:formatCode>General</c:formatCode>
                <c:ptCount val="3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</c:v>
                </c:pt>
                <c:pt idx="9">
                  <c:v>9</c:v>
                </c:pt>
                <c:pt idx="10">
                  <c:v>3</c:v>
                </c:pt>
                <c:pt idx="11">
                  <c:v>12</c:v>
                </c:pt>
                <c:pt idx="12">
                  <c:v>5</c:v>
                </c:pt>
                <c:pt idx="13">
                  <c:v>15</c:v>
                </c:pt>
                <c:pt idx="14">
                  <c:v>4</c:v>
                </c:pt>
                <c:pt idx="15">
                  <c:v>11</c:v>
                </c:pt>
                <c:pt idx="16">
                  <c:v>2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6</c:v>
                </c:pt>
                <c:pt idx="21">
                  <c:v>10</c:v>
                </c:pt>
                <c:pt idx="22">
                  <c:v>9</c:v>
                </c:pt>
                <c:pt idx="23">
                  <c:v>14</c:v>
                </c:pt>
                <c:pt idx="24">
                  <c:v>5</c:v>
                </c:pt>
                <c:pt idx="25">
                  <c:v>3</c:v>
                </c:pt>
                <c:pt idx="26">
                  <c:v>12</c:v>
                </c:pt>
                <c:pt idx="27">
                  <c:v>4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4-4BDC-A8E8-F1BA084D81B8}"/>
            </c:ext>
          </c:extLst>
        </c:ser>
        <c:ser>
          <c:idx val="2"/>
          <c:order val="2"/>
          <c:tx>
            <c:strRef>
              <c:f>Sheet2!$F$200</c:f>
              <c:strCache>
                <c:ptCount val="1"/>
                <c:pt idx="0">
                  <c:v>Total Amount (USD)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Sheet2!$F$201:$F$230</c:f>
              <c:numCache>
                <c:formatCode>General</c:formatCode>
                <c:ptCount val="30"/>
                <c:pt idx="0">
                  <c:v>45</c:v>
                </c:pt>
                <c:pt idx="1">
                  <c:v>75</c:v>
                </c:pt>
                <c:pt idx="2">
                  <c:v>30</c:v>
                </c:pt>
                <c:pt idx="3">
                  <c:v>120</c:v>
                </c:pt>
                <c:pt idx="4">
                  <c:v>60</c:v>
                </c:pt>
                <c:pt idx="5">
                  <c:v>150</c:v>
                </c:pt>
                <c:pt idx="6">
                  <c:v>90</c:v>
                </c:pt>
                <c:pt idx="7">
                  <c:v>105</c:v>
                </c:pt>
                <c:pt idx="8">
                  <c:v>15</c:v>
                </c:pt>
                <c:pt idx="9">
                  <c:v>135</c:v>
                </c:pt>
                <c:pt idx="10">
                  <c:v>45</c:v>
                </c:pt>
                <c:pt idx="11">
                  <c:v>180</c:v>
                </c:pt>
                <c:pt idx="12">
                  <c:v>75</c:v>
                </c:pt>
                <c:pt idx="13">
                  <c:v>225</c:v>
                </c:pt>
                <c:pt idx="14">
                  <c:v>60</c:v>
                </c:pt>
                <c:pt idx="15">
                  <c:v>165</c:v>
                </c:pt>
                <c:pt idx="16">
                  <c:v>30</c:v>
                </c:pt>
                <c:pt idx="17">
                  <c:v>120</c:v>
                </c:pt>
                <c:pt idx="18">
                  <c:v>195</c:v>
                </c:pt>
                <c:pt idx="19">
                  <c:v>105</c:v>
                </c:pt>
                <c:pt idx="20">
                  <c:v>90</c:v>
                </c:pt>
                <c:pt idx="21">
                  <c:v>150</c:v>
                </c:pt>
                <c:pt idx="22">
                  <c:v>135</c:v>
                </c:pt>
                <c:pt idx="23">
                  <c:v>210</c:v>
                </c:pt>
                <c:pt idx="24">
                  <c:v>75</c:v>
                </c:pt>
                <c:pt idx="25">
                  <c:v>45</c:v>
                </c:pt>
                <c:pt idx="26">
                  <c:v>180</c:v>
                </c:pt>
                <c:pt idx="27">
                  <c:v>60</c:v>
                </c:pt>
                <c:pt idx="28">
                  <c:v>15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4-4BDC-A8E8-F1BA084D8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3371528"/>
        <c:axId val="473371856"/>
        <c:axId val="0"/>
      </c:bar3DChart>
      <c:catAx>
        <c:axId val="473371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71856"/>
        <c:crosses val="autoZero"/>
        <c:auto val="1"/>
        <c:lblAlgn val="ctr"/>
        <c:lblOffset val="100"/>
        <c:noMultiLvlLbl val="0"/>
      </c:catAx>
      <c:valAx>
        <c:axId val="4733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715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Sheet2!$E$200</c:f>
              <c:strCache>
                <c:ptCount val="1"/>
                <c:pt idx="0">
                  <c:v>Number of Items Purchased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Sheet2!$E$201:$E$230</c:f>
              <c:numCache>
                <c:formatCode>General</c:formatCode>
                <c:ptCount val="3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</c:v>
                </c:pt>
                <c:pt idx="9">
                  <c:v>9</c:v>
                </c:pt>
                <c:pt idx="10">
                  <c:v>3</c:v>
                </c:pt>
                <c:pt idx="11">
                  <c:v>12</c:v>
                </c:pt>
                <c:pt idx="12">
                  <c:v>5</c:v>
                </c:pt>
                <c:pt idx="13">
                  <c:v>15</c:v>
                </c:pt>
                <c:pt idx="14">
                  <c:v>4</c:v>
                </c:pt>
                <c:pt idx="15">
                  <c:v>11</c:v>
                </c:pt>
                <c:pt idx="16">
                  <c:v>2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6</c:v>
                </c:pt>
                <c:pt idx="21">
                  <c:v>10</c:v>
                </c:pt>
                <c:pt idx="22">
                  <c:v>9</c:v>
                </c:pt>
                <c:pt idx="23">
                  <c:v>14</c:v>
                </c:pt>
                <c:pt idx="24">
                  <c:v>5</c:v>
                </c:pt>
                <c:pt idx="25">
                  <c:v>3</c:v>
                </c:pt>
                <c:pt idx="26">
                  <c:v>12</c:v>
                </c:pt>
                <c:pt idx="27">
                  <c:v>4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8-4F27-AE35-14F86ABD0277}"/>
            </c:ext>
          </c:extLst>
        </c:ser>
        <c:ser>
          <c:idx val="1"/>
          <c:order val="1"/>
          <c:tx>
            <c:strRef>
              <c:f>Sheet2!$F$200</c:f>
              <c:strCache>
                <c:ptCount val="1"/>
                <c:pt idx="0">
                  <c:v>Total Amount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Sheet2!$F$201:$F$230</c:f>
              <c:numCache>
                <c:formatCode>General</c:formatCode>
                <c:ptCount val="30"/>
                <c:pt idx="0">
                  <c:v>45</c:v>
                </c:pt>
                <c:pt idx="1">
                  <c:v>75</c:v>
                </c:pt>
                <c:pt idx="2">
                  <c:v>30</c:v>
                </c:pt>
                <c:pt idx="3">
                  <c:v>120</c:v>
                </c:pt>
                <c:pt idx="4">
                  <c:v>60</c:v>
                </c:pt>
                <c:pt idx="5">
                  <c:v>150</c:v>
                </c:pt>
                <c:pt idx="6">
                  <c:v>90</c:v>
                </c:pt>
                <c:pt idx="7">
                  <c:v>105</c:v>
                </c:pt>
                <c:pt idx="8">
                  <c:v>15</c:v>
                </c:pt>
                <c:pt idx="9">
                  <c:v>135</c:v>
                </c:pt>
                <c:pt idx="10">
                  <c:v>45</c:v>
                </c:pt>
                <c:pt idx="11">
                  <c:v>180</c:v>
                </c:pt>
                <c:pt idx="12">
                  <c:v>75</c:v>
                </c:pt>
                <c:pt idx="13">
                  <c:v>225</c:v>
                </c:pt>
                <c:pt idx="14">
                  <c:v>60</c:v>
                </c:pt>
                <c:pt idx="15">
                  <c:v>165</c:v>
                </c:pt>
                <c:pt idx="16">
                  <c:v>30</c:v>
                </c:pt>
                <c:pt idx="17">
                  <c:v>120</c:v>
                </c:pt>
                <c:pt idx="18">
                  <c:v>195</c:v>
                </c:pt>
                <c:pt idx="19">
                  <c:v>105</c:v>
                </c:pt>
                <c:pt idx="20">
                  <c:v>90</c:v>
                </c:pt>
                <c:pt idx="21">
                  <c:v>150</c:v>
                </c:pt>
                <c:pt idx="22">
                  <c:v>135</c:v>
                </c:pt>
                <c:pt idx="23">
                  <c:v>210</c:v>
                </c:pt>
                <c:pt idx="24">
                  <c:v>75</c:v>
                </c:pt>
                <c:pt idx="25">
                  <c:v>45</c:v>
                </c:pt>
                <c:pt idx="26">
                  <c:v>180</c:v>
                </c:pt>
                <c:pt idx="27">
                  <c:v>60</c:v>
                </c:pt>
                <c:pt idx="28">
                  <c:v>15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8-4F27-AE35-14F86ABD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504272"/>
        <c:axId val="467502632"/>
      </c:barChart>
      <c:catAx>
        <c:axId val="467504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502632"/>
        <c:crosses val="autoZero"/>
        <c:auto val="1"/>
        <c:lblAlgn val="ctr"/>
        <c:lblOffset val="100"/>
        <c:noMultiLvlLbl val="0"/>
      </c:catAx>
      <c:valAx>
        <c:axId val="46750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50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365760</xdr:colOff>
      <xdr:row>2</xdr:row>
      <xdr:rowOff>83820</xdr:rowOff>
    </xdr:from>
    <xdr:to>
      <xdr:col>24</xdr:col>
      <xdr:colOff>396240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DAAC7-1D64-8BC1-0DD5-902C99BC5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12</xdr:row>
      <xdr:rowOff>163830</xdr:rowOff>
    </xdr:from>
    <xdr:to>
      <xdr:col>10</xdr:col>
      <xdr:colOff>297180</xdr:colOff>
      <xdr:row>28</xdr:row>
      <xdr:rowOff>102870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49</xdr:row>
      <xdr:rowOff>171450</xdr:rowOff>
    </xdr:from>
    <xdr:to>
      <xdr:col>10</xdr:col>
      <xdr:colOff>388620</xdr:colOff>
      <xdr:row>65</xdr:row>
      <xdr:rowOff>110490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666792</xdr:colOff>
      <xdr:row>144</xdr:row>
      <xdr:rowOff>96344</xdr:rowOff>
    </xdr:from>
    <xdr:to>
      <xdr:col>10</xdr:col>
      <xdr:colOff>52552</xdr:colOff>
      <xdr:row>170</xdr:row>
      <xdr:rowOff>43793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578069</xdr:colOff>
      <xdr:row>233</xdr:row>
      <xdr:rowOff>139262</xdr:rowOff>
    </xdr:from>
    <xdr:to>
      <xdr:col>10</xdr:col>
      <xdr:colOff>1059793</xdr:colOff>
      <xdr:row>256</xdr:row>
      <xdr:rowOff>87586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324069</xdr:colOff>
      <xdr:row>259</xdr:row>
      <xdr:rowOff>166413</xdr:rowOff>
    </xdr:from>
    <xdr:to>
      <xdr:col>10</xdr:col>
      <xdr:colOff>814552</xdr:colOff>
      <xdr:row>283</xdr:row>
      <xdr:rowOff>35035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C49"/>
  <sheetViews>
    <sheetView topLeftCell="A29" zoomScale="71" workbookViewId="0">
      <selection activeCell="G26" sqref="G26"/>
    </sheetView>
  </sheetViews>
  <sheetFormatPr defaultRowHeight="15" customHeight="1"/>
  <cols>
    <col min="2" max="7" width="8.796875" customWidth="1"/>
    <col min="13" max="13" width="9.69921875" customWidth="1"/>
  </cols>
  <sheetData>
    <row r="1" spans="3:29" ht="13.8"/>
    <row r="2" spans="3:29" ht="13.8">
      <c r="D2" s="30" t="s">
        <v>0</v>
      </c>
      <c r="E2" s="30"/>
      <c r="F2" s="30"/>
    </row>
    <row r="3" spans="3:29" ht="13.8">
      <c r="D3" s="31"/>
      <c r="E3" s="31"/>
      <c r="F3" s="31"/>
    </row>
    <row r="4" spans="3:29" ht="27.6">
      <c r="C4" s="15" t="s">
        <v>1</v>
      </c>
      <c r="D4" s="2" t="s">
        <v>2</v>
      </c>
      <c r="E4" s="2" t="s">
        <v>3</v>
      </c>
      <c r="F4" s="5" t="s">
        <v>4</v>
      </c>
      <c r="G4" s="3" t="s">
        <v>5</v>
      </c>
    </row>
    <row r="5" spans="3:29" ht="13.8">
      <c r="C5" s="16" t="s">
        <v>6</v>
      </c>
      <c r="D5" s="4">
        <v>10</v>
      </c>
      <c r="E5" s="4">
        <v>20</v>
      </c>
      <c r="F5" s="4">
        <v>30</v>
      </c>
      <c r="G5" s="4">
        <v>40</v>
      </c>
      <c r="M5" s="33" t="s">
        <v>7</v>
      </c>
      <c r="N5" s="33"/>
      <c r="AC5" t="s">
        <v>8</v>
      </c>
    </row>
    <row r="6" spans="3:29" ht="13.8">
      <c r="C6" s="4">
        <v>6</v>
      </c>
      <c r="D6" s="1">
        <f>C6*$D$5</f>
        <v>60</v>
      </c>
      <c r="E6" s="1">
        <f>$E$5-C6</f>
        <v>14</v>
      </c>
      <c r="F6" s="1">
        <f>$F$5+C6</f>
        <v>36</v>
      </c>
      <c r="G6" s="1">
        <f>$G$5/C6</f>
        <v>6.666666666666667</v>
      </c>
      <c r="M6" s="17" t="s">
        <v>9</v>
      </c>
      <c r="N6" s="18" t="s">
        <v>10</v>
      </c>
    </row>
    <row r="7" spans="3:29" ht="13.8">
      <c r="C7" s="4">
        <v>7</v>
      </c>
      <c r="D7" s="1">
        <f t="shared" ref="D7:D10" si="0">C7*$D$5</f>
        <v>70</v>
      </c>
      <c r="E7" s="1">
        <f t="shared" ref="E7:E10" si="1">$E$5-C7</f>
        <v>13</v>
      </c>
      <c r="F7" s="1">
        <f t="shared" ref="F7:F10" si="2">$F$5+C7</f>
        <v>37</v>
      </c>
      <c r="G7" s="1">
        <f t="shared" ref="G7:G10" si="3">$G$5/C7</f>
        <v>5.7142857142857144</v>
      </c>
      <c r="M7" s="9">
        <v>10</v>
      </c>
      <c r="N7" s="10">
        <v>30</v>
      </c>
    </row>
    <row r="8" spans="3:29" ht="13.8">
      <c r="C8" s="4">
        <v>8</v>
      </c>
      <c r="D8" s="1">
        <f t="shared" si="0"/>
        <v>80</v>
      </c>
      <c r="E8" s="1">
        <f t="shared" si="1"/>
        <v>12</v>
      </c>
      <c r="F8" s="1">
        <f t="shared" si="2"/>
        <v>38</v>
      </c>
      <c r="G8" s="1">
        <f>$G$5/C8</f>
        <v>5</v>
      </c>
      <c r="M8" s="11">
        <v>20</v>
      </c>
      <c r="N8" s="10">
        <v>50</v>
      </c>
      <c r="P8" s="6"/>
    </row>
    <row r="9" spans="3:29" ht="13.8">
      <c r="C9" s="4">
        <v>9</v>
      </c>
      <c r="D9" s="1">
        <f t="shared" si="0"/>
        <v>90</v>
      </c>
      <c r="E9" s="1">
        <f t="shared" si="1"/>
        <v>11</v>
      </c>
      <c r="F9" s="1">
        <f t="shared" si="2"/>
        <v>39</v>
      </c>
      <c r="G9" s="1">
        <f t="shared" si="3"/>
        <v>4.4444444444444446</v>
      </c>
      <c r="M9" s="11">
        <v>30</v>
      </c>
      <c r="N9" s="10">
        <v>60</v>
      </c>
    </row>
    <row r="10" spans="3:29" ht="13.8">
      <c r="C10" s="4">
        <v>10</v>
      </c>
      <c r="D10" s="1">
        <f t="shared" si="0"/>
        <v>100</v>
      </c>
      <c r="E10" s="1">
        <f t="shared" si="1"/>
        <v>10</v>
      </c>
      <c r="F10" s="1">
        <f t="shared" si="2"/>
        <v>40</v>
      </c>
      <c r="G10" s="1">
        <f t="shared" si="3"/>
        <v>4</v>
      </c>
      <c r="M10" s="11">
        <v>30</v>
      </c>
      <c r="N10" s="10">
        <v>60</v>
      </c>
    </row>
    <row r="11" spans="3:29" ht="13.8">
      <c r="C11" s="3" t="s">
        <v>11</v>
      </c>
      <c r="D11" s="1">
        <f>D6+D7+D8+D9+D10</f>
        <v>400</v>
      </c>
      <c r="E11" s="1">
        <f>E6+E7+E8+E9+E10</f>
        <v>60</v>
      </c>
      <c r="F11" s="1">
        <f t="shared" ref="F11" si="4">F6+F7+F8+F9+F10</f>
        <v>190</v>
      </c>
      <c r="G11" s="1">
        <f t="shared" ref="G11" si="5">G6+G7+G8+G9+G10</f>
        <v>25.825396825396822</v>
      </c>
      <c r="M11" s="12">
        <v>30</v>
      </c>
      <c r="N11" s="13">
        <v>60</v>
      </c>
    </row>
    <row r="14" spans="3:29" ht="13.8"/>
    <row r="15" spans="3:29" ht="13.8">
      <c r="K15" s="1"/>
      <c r="L15" s="32" t="s">
        <v>12</v>
      </c>
      <c r="M15" s="32"/>
      <c r="N15" s="32"/>
      <c r="O15" s="32"/>
      <c r="P15" s="14"/>
    </row>
    <row r="16" spans="3:29" ht="13.8">
      <c r="K16" s="7" t="s">
        <v>9</v>
      </c>
      <c r="L16" s="8">
        <v>10</v>
      </c>
      <c r="M16" s="1">
        <v>20</v>
      </c>
      <c r="N16" s="1">
        <v>30</v>
      </c>
      <c r="O16" s="1">
        <v>30</v>
      </c>
      <c r="P16" s="1">
        <v>30</v>
      </c>
    </row>
    <row r="17" spans="5:16" ht="13.8">
      <c r="K17" s="4" t="s">
        <v>10</v>
      </c>
      <c r="L17" s="1">
        <v>20</v>
      </c>
      <c r="M17" s="1">
        <v>40</v>
      </c>
      <c r="N17" s="1">
        <v>60</v>
      </c>
      <c r="O17" s="1">
        <v>60</v>
      </c>
      <c r="P17" s="1">
        <v>60</v>
      </c>
    </row>
    <row r="18" spans="5:16" ht="13.8"/>
    <row r="21" spans="5:16" ht="13.8"/>
    <row r="22" spans="5:16" ht="13.8"/>
    <row r="23" spans="5:16" ht="13.8"/>
    <row r="24" spans="5:16" ht="13.95" customHeight="1">
      <c r="E24" s="19"/>
      <c r="F24" s="19"/>
    </row>
    <row r="25" spans="5:16" ht="13.8">
      <c r="E25" t="s">
        <v>15</v>
      </c>
      <c r="G25" t="s">
        <v>16</v>
      </c>
    </row>
    <row r="26" spans="5:16" ht="13.8">
      <c r="E26">
        <v>19</v>
      </c>
      <c r="G26" t="e">
        <f>VLOOKUP(E26,Sheet2!G7,2,TRUE)</f>
        <v>#N/A</v>
      </c>
    </row>
    <row r="27" spans="5:16" ht="15" customHeight="1">
      <c r="E27">
        <v>21</v>
      </c>
      <c r="G27" t="e">
        <f>VLOOKUP(E27,Sheet2!G8,2,TRUE)</f>
        <v>#N/A</v>
      </c>
    </row>
    <row r="28" spans="5:16" ht="15" customHeight="1">
      <c r="E28">
        <v>20</v>
      </c>
      <c r="G28" t="e">
        <f>VLOOKUP(E28,Sheet2!G9,2,TRUE)</f>
        <v>#N/A</v>
      </c>
    </row>
    <row r="29" spans="5:16" ht="15" customHeight="1">
      <c r="E29">
        <v>23</v>
      </c>
      <c r="G29" t="e">
        <f>VLOOKUP(E29,Sheet2!G10,2,TRUE)</f>
        <v>#N/A</v>
      </c>
    </row>
    <row r="30" spans="5:16" ht="15" customHeight="1">
      <c r="E30">
        <v>31</v>
      </c>
      <c r="G30" t="e">
        <f>VLOOKUP(E30,Sheet2!G11,2,TRUE)</f>
        <v>#N/A</v>
      </c>
    </row>
    <row r="31" spans="5:16" ht="15" customHeight="1">
      <c r="E31">
        <v>22</v>
      </c>
      <c r="G31" t="e">
        <f>VLOOKUP(E31,Sheet2!G12,2,TRUE)</f>
        <v>#N/A</v>
      </c>
    </row>
    <row r="32" spans="5:16" ht="15" customHeight="1">
      <c r="E32">
        <v>35</v>
      </c>
      <c r="G32" t="e">
        <f>VLOOKUP(E32,Sheet2!G13,2,TRUE)</f>
        <v>#N/A</v>
      </c>
    </row>
    <row r="33" spans="5:7" ht="15" customHeight="1">
      <c r="E33">
        <v>40</v>
      </c>
      <c r="G33" t="e">
        <f>VLOOKUP(E33,Sheet2!G14,2,TRUE)</f>
        <v>#N/A</v>
      </c>
    </row>
    <row r="34" spans="5:7" ht="15" customHeight="1">
      <c r="E34">
        <v>18</v>
      </c>
      <c r="G34" t="e">
        <f>VLOOKUP(E34,Sheet2!G15,2,TRUE)</f>
        <v>#N/A</v>
      </c>
    </row>
    <row r="35" spans="5:7" ht="15" customHeight="1">
      <c r="E35">
        <v>50</v>
      </c>
      <c r="G35" t="e">
        <f>VLOOKUP(E35,Sheet2!G16,2,TRUE)</f>
        <v>#N/A</v>
      </c>
    </row>
    <row r="36" spans="5:7" ht="15" customHeight="1">
      <c r="E36">
        <v>25</v>
      </c>
      <c r="G36" t="e">
        <f>VLOOKUP(E36,Sheet2!G17,2,TRUE)</f>
        <v>#N/A</v>
      </c>
    </row>
    <row r="37" spans="5:7" ht="15" customHeight="1">
      <c r="E37">
        <v>26</v>
      </c>
      <c r="G37" t="e">
        <f>VLOOKUP(E37,Sheet2!G18,2,TRUE)</f>
        <v>#N/A</v>
      </c>
    </row>
    <row r="38" spans="5:7" ht="15" customHeight="1">
      <c r="E38">
        <v>28</v>
      </c>
      <c r="G38" t="e">
        <f>VLOOKUP(E38,Sheet2!G19,2,TRUE)</f>
        <v>#N/A</v>
      </c>
    </row>
    <row r="39" spans="5:7" ht="15" customHeight="1">
      <c r="E39">
        <v>33</v>
      </c>
      <c r="G39" t="e">
        <f>VLOOKUP(E39,Sheet2!G20,2,TRUE)</f>
        <v>#N/A</v>
      </c>
    </row>
    <row r="40" spans="5:7" ht="15" customHeight="1">
      <c r="E40">
        <v>21</v>
      </c>
      <c r="G40" t="e">
        <f>VLOOKUP(E40,Sheet2!G21,2,TRUE)</f>
        <v>#N/A</v>
      </c>
    </row>
    <row r="41" spans="5:7" ht="15" customHeight="1">
      <c r="E41">
        <v>45</v>
      </c>
      <c r="G41" t="e">
        <f>VLOOKUP(E41,Sheet2!G22,2,TRUE)</f>
        <v>#N/A</v>
      </c>
    </row>
    <row r="42" spans="5:7" ht="15" customHeight="1">
      <c r="E42">
        <v>30</v>
      </c>
      <c r="G42" t="e">
        <f>VLOOKUP(E42,Sheet2!G23,2,TRUE)</f>
        <v>#N/A</v>
      </c>
    </row>
    <row r="43" spans="5:7" ht="15" customHeight="1">
      <c r="E43">
        <v>29</v>
      </c>
      <c r="G43" t="e">
        <f>VLOOKUP(E43,Sheet2!G24,2,TRUE)</f>
        <v>#N/A</v>
      </c>
    </row>
    <row r="44" spans="5:7" ht="15" customHeight="1">
      <c r="E44">
        <v>24</v>
      </c>
      <c r="G44" t="e">
        <f>VLOOKUP(E44,Sheet2!G25,2,TRUE)</f>
        <v>#N/A</v>
      </c>
    </row>
    <row r="45" spans="5:7" ht="15" customHeight="1">
      <c r="E45">
        <v>39</v>
      </c>
      <c r="G45" t="e">
        <f>VLOOKUP(E45,Sheet2!G26,2,TRUE)</f>
        <v>#N/A</v>
      </c>
    </row>
    <row r="46" spans="5:7" ht="15" customHeight="1">
      <c r="E46">
        <v>27</v>
      </c>
      <c r="G46" t="e">
        <f>VLOOKUP(E46,Sheet2!G27,2,TRUE)</f>
        <v>#N/A</v>
      </c>
    </row>
    <row r="47" spans="5:7" ht="15" customHeight="1">
      <c r="E47">
        <v>34</v>
      </c>
      <c r="G47" t="e">
        <f>VLOOKUP(E47,Sheet2!G28,2,TRUE)</f>
        <v>#N/A</v>
      </c>
    </row>
    <row r="48" spans="5:7" ht="15" customHeight="1">
      <c r="E48">
        <v>43</v>
      </c>
      <c r="G48" t="e">
        <f>VLOOKUP(E48,Sheet2!G29,2,TRUE)</f>
        <v>#N/A</v>
      </c>
    </row>
    <row r="49" spans="5:7" ht="15" customHeight="1">
      <c r="E49">
        <v>32</v>
      </c>
      <c r="G49" t="e">
        <f>VLOOKUP(E49,Sheet2!G30,2,TRUE)</f>
        <v>#N/A</v>
      </c>
    </row>
  </sheetData>
  <mergeCells count="3">
    <mergeCell ref="D2:F3"/>
    <mergeCell ref="L15:O15"/>
    <mergeCell ref="M5:N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AL232"/>
  <sheetViews>
    <sheetView tabSelected="1" topLeftCell="A272" zoomScale="87" zoomScaleNormal="100" workbookViewId="0">
      <selection activeCell="G181" sqref="G181"/>
    </sheetView>
  </sheetViews>
  <sheetFormatPr defaultRowHeight="13.8"/>
  <cols>
    <col min="4" max="4" width="22.19921875" customWidth="1"/>
    <col min="5" max="5" width="31.59765625" customWidth="1"/>
    <col min="6" max="6" width="21" customWidth="1"/>
    <col min="7" max="7" width="15.19921875" customWidth="1"/>
    <col min="8" max="8" width="15.3984375" customWidth="1"/>
    <col min="11" max="11" width="16" customWidth="1"/>
    <col min="12" max="12" width="22.3984375" customWidth="1"/>
    <col min="13" max="13" width="15.3984375" customWidth="1"/>
    <col min="19" max="19" width="11.09765625" customWidth="1"/>
  </cols>
  <sheetData>
    <row r="7" spans="7:8">
      <c r="G7" s="21" t="s">
        <v>17</v>
      </c>
      <c r="H7" s="21" t="s">
        <v>24</v>
      </c>
    </row>
    <row r="8" spans="7:8">
      <c r="G8" t="s">
        <v>18</v>
      </c>
      <c r="H8" s="20">
        <v>0.02</v>
      </c>
    </row>
    <row r="9" spans="7:8">
      <c r="G9" t="s">
        <v>19</v>
      </c>
      <c r="H9" s="20">
        <v>0.11</v>
      </c>
    </row>
    <row r="10" spans="7:8">
      <c r="G10" t="s">
        <v>20</v>
      </c>
      <c r="H10" s="20">
        <v>7.0000000000000007E-2</v>
      </c>
    </row>
    <row r="11" spans="7:8">
      <c r="G11" t="s">
        <v>21</v>
      </c>
      <c r="H11" s="20">
        <v>0.03</v>
      </c>
    </row>
    <row r="19" spans="10:38">
      <c r="AL19" t="s">
        <v>13</v>
      </c>
    </row>
    <row r="29" spans="10:38">
      <c r="L29" s="22"/>
    </row>
    <row r="30" spans="10:38">
      <c r="L30" s="22"/>
    </row>
    <row r="31" spans="10:38">
      <c r="L31" s="22"/>
    </row>
    <row r="32" spans="10:38">
      <c r="J32" s="22"/>
      <c r="K32" s="22"/>
      <c r="L32" s="22"/>
    </row>
    <row r="33" spans="3:12">
      <c r="J33" s="22"/>
      <c r="K33" s="22"/>
      <c r="L33" s="22"/>
    </row>
    <row r="34" spans="3:12">
      <c r="J34" s="22"/>
      <c r="K34" s="22"/>
      <c r="L34" s="22"/>
    </row>
    <row r="35" spans="3:12">
      <c r="I35" s="22"/>
      <c r="J35" s="22"/>
      <c r="K35" s="22"/>
      <c r="L35" s="22"/>
    </row>
    <row r="38" spans="3:12">
      <c r="C38" s="22"/>
      <c r="D38" s="22"/>
      <c r="E38" s="22"/>
      <c r="F38" s="22"/>
    </row>
    <row r="39" spans="3:12">
      <c r="C39" s="22"/>
      <c r="D39" s="21" t="s">
        <v>30</v>
      </c>
      <c r="E39" s="21" t="s">
        <v>32</v>
      </c>
      <c r="F39" s="21" t="s">
        <v>31</v>
      </c>
    </row>
    <row r="40" spans="3:12">
      <c r="C40" s="22"/>
      <c r="D40">
        <v>1</v>
      </c>
      <c r="E40" t="s">
        <v>26</v>
      </c>
      <c r="F40">
        <v>4</v>
      </c>
    </row>
    <row r="41" spans="3:12">
      <c r="C41" s="22"/>
      <c r="D41">
        <v>2</v>
      </c>
      <c r="E41" t="s">
        <v>25</v>
      </c>
      <c r="F41">
        <v>8</v>
      </c>
    </row>
    <row r="42" spans="3:12">
      <c r="C42" s="22"/>
      <c r="D42">
        <v>3</v>
      </c>
      <c r="E42" t="s">
        <v>22</v>
      </c>
      <c r="F42">
        <v>2</v>
      </c>
    </row>
    <row r="43" spans="3:12">
      <c r="C43" s="22"/>
      <c r="D43">
        <v>4</v>
      </c>
      <c r="E43" t="s">
        <v>23</v>
      </c>
      <c r="F43">
        <v>2</v>
      </c>
    </row>
    <row r="44" spans="3:12">
      <c r="C44" s="22"/>
      <c r="D44">
        <v>5</v>
      </c>
      <c r="E44" t="s">
        <v>27</v>
      </c>
      <c r="F44">
        <v>3</v>
      </c>
    </row>
    <row r="45" spans="3:12">
      <c r="C45" s="22"/>
      <c r="D45">
        <v>6</v>
      </c>
      <c r="E45" t="s">
        <v>28</v>
      </c>
      <c r="F45">
        <v>3</v>
      </c>
    </row>
    <row r="49" spans="4:12">
      <c r="E49" s="38"/>
      <c r="F49" s="38"/>
      <c r="G49" s="38"/>
      <c r="H49" s="38"/>
      <c r="I49" s="38"/>
      <c r="J49" s="38"/>
      <c r="K49" s="38"/>
      <c r="L49" s="38"/>
    </row>
    <row r="50" spans="4:12">
      <c r="D50" s="22"/>
      <c r="E50" s="38"/>
      <c r="F50" s="38"/>
      <c r="G50" s="38"/>
      <c r="H50" s="38"/>
      <c r="I50" s="38"/>
      <c r="J50" s="38"/>
      <c r="K50" s="38"/>
      <c r="L50" s="38"/>
    </row>
    <row r="51" spans="4:12">
      <c r="D51" s="22"/>
      <c r="E51" s="22"/>
      <c r="F51" s="22"/>
      <c r="G51" s="22"/>
      <c r="H51" s="22"/>
      <c r="I51" s="22"/>
      <c r="J51" s="22"/>
      <c r="K51" s="22"/>
      <c r="L51" s="22"/>
    </row>
    <row r="52" spans="4:12">
      <c r="D52" s="22"/>
      <c r="E52" s="22"/>
      <c r="F52" s="22"/>
      <c r="G52" s="22"/>
      <c r="H52" s="22"/>
      <c r="I52" s="22"/>
      <c r="J52" s="22"/>
      <c r="K52" s="22"/>
      <c r="L52" s="22"/>
    </row>
    <row r="53" spans="4:12">
      <c r="D53" s="22"/>
      <c r="E53" s="22"/>
      <c r="F53" s="22"/>
      <c r="G53" s="22"/>
      <c r="H53" s="22"/>
      <c r="I53" s="22"/>
      <c r="J53" s="22"/>
      <c r="K53" s="22"/>
      <c r="L53" s="22"/>
    </row>
    <row r="54" spans="4:12">
      <c r="D54" s="22"/>
      <c r="E54" s="22"/>
      <c r="F54" s="22"/>
      <c r="G54" s="22"/>
      <c r="H54" s="22"/>
      <c r="I54" s="22"/>
      <c r="J54" s="22"/>
      <c r="K54" s="22"/>
      <c r="L54" s="22"/>
    </row>
    <row r="55" spans="4:12">
      <c r="D55" s="22"/>
      <c r="E55" s="22"/>
      <c r="F55" s="22"/>
      <c r="G55" s="22"/>
      <c r="H55" s="22"/>
      <c r="I55" s="22"/>
      <c r="J55" s="22"/>
      <c r="K55" s="22"/>
      <c r="L55" s="22"/>
    </row>
    <row r="56" spans="4:12">
      <c r="D56" s="22"/>
      <c r="E56" s="22"/>
      <c r="F56" s="22"/>
      <c r="G56" s="22"/>
      <c r="H56" s="22"/>
      <c r="I56" s="22"/>
      <c r="J56" s="22"/>
      <c r="K56" s="22"/>
      <c r="L56" s="22"/>
    </row>
    <row r="57" spans="4:12">
      <c r="D57" s="22"/>
      <c r="E57" s="22"/>
      <c r="F57" s="22"/>
      <c r="G57" s="22"/>
      <c r="H57" s="22"/>
      <c r="I57" s="22"/>
      <c r="J57" s="22"/>
      <c r="K57" s="22"/>
      <c r="L57" s="22"/>
    </row>
    <row r="58" spans="4:12">
      <c r="D58" s="22"/>
      <c r="E58" s="22"/>
      <c r="F58" s="22"/>
      <c r="G58" s="22"/>
      <c r="H58" s="22"/>
      <c r="I58" s="22"/>
      <c r="J58" s="22"/>
      <c r="K58" s="22"/>
      <c r="L58" s="22"/>
    </row>
    <row r="59" spans="4:12">
      <c r="D59" s="22"/>
      <c r="E59" s="22"/>
      <c r="F59" s="22"/>
      <c r="G59" s="22"/>
      <c r="H59" s="22"/>
      <c r="I59" s="22"/>
      <c r="J59" s="22"/>
      <c r="K59" s="22"/>
      <c r="L59" s="22"/>
    </row>
    <row r="60" spans="4:12">
      <c r="D60" s="22"/>
      <c r="E60" s="22"/>
      <c r="F60" s="22"/>
      <c r="G60" s="22"/>
      <c r="H60" s="22"/>
      <c r="I60" s="22"/>
      <c r="J60" s="22"/>
      <c r="K60" s="22"/>
      <c r="L60" s="22"/>
    </row>
    <row r="61" spans="4:12">
      <c r="D61" s="22"/>
      <c r="E61" s="22"/>
      <c r="F61" s="22"/>
      <c r="G61" s="22"/>
      <c r="H61" s="22"/>
      <c r="I61" s="22"/>
      <c r="J61" s="22"/>
      <c r="K61" s="22"/>
      <c r="L61" s="22"/>
    </row>
    <row r="62" spans="4:12">
      <c r="D62" s="22"/>
      <c r="E62" s="22"/>
      <c r="F62" s="22"/>
      <c r="G62" s="22"/>
      <c r="H62" s="22"/>
      <c r="I62" s="22"/>
      <c r="J62" s="22"/>
      <c r="K62" s="22"/>
      <c r="L62" s="22"/>
    </row>
    <row r="63" spans="4:12">
      <c r="D63" s="22"/>
      <c r="E63" s="22"/>
      <c r="F63" s="22"/>
      <c r="G63" s="22"/>
      <c r="H63" s="22"/>
      <c r="I63" s="22"/>
      <c r="J63" s="22"/>
      <c r="K63" s="22"/>
      <c r="L63" s="22"/>
    </row>
    <row r="64" spans="4:12">
      <c r="D64" s="22"/>
      <c r="E64" s="22"/>
      <c r="F64" s="22"/>
      <c r="G64" s="22"/>
      <c r="H64" s="22"/>
      <c r="I64" s="22"/>
      <c r="J64" s="22"/>
      <c r="K64" s="22"/>
      <c r="L64" s="22"/>
    </row>
    <row r="65" spans="4:12">
      <c r="D65" s="22"/>
      <c r="E65" s="22"/>
      <c r="F65" s="22"/>
      <c r="G65" s="22"/>
      <c r="H65" s="22"/>
      <c r="I65" s="22"/>
      <c r="J65" s="22"/>
      <c r="K65" s="22"/>
      <c r="L65" s="22"/>
    </row>
    <row r="66" spans="4:12">
      <c r="D66" s="22"/>
      <c r="E66" s="22"/>
      <c r="F66" s="22"/>
      <c r="G66" s="22"/>
      <c r="H66" s="22"/>
      <c r="I66" s="22"/>
      <c r="J66" s="22"/>
      <c r="K66" s="22"/>
      <c r="L66" s="22"/>
    </row>
    <row r="67" spans="4:12">
      <c r="D67" s="22"/>
      <c r="E67" s="22"/>
      <c r="F67" s="22"/>
      <c r="G67" s="22"/>
      <c r="H67" s="22"/>
      <c r="I67" s="22"/>
      <c r="J67" s="22"/>
      <c r="K67" s="22"/>
      <c r="L67" s="22"/>
    </row>
    <row r="68" spans="4:12">
      <c r="D68" s="22"/>
      <c r="E68" s="22"/>
      <c r="F68" s="22"/>
      <c r="G68" s="22"/>
      <c r="H68" s="22"/>
      <c r="I68" s="22"/>
      <c r="J68" s="22"/>
      <c r="K68" s="22"/>
      <c r="L68" s="22"/>
    </row>
    <row r="93" spans="3:7">
      <c r="D93" s="38"/>
      <c r="E93" s="38"/>
      <c r="F93" s="38"/>
      <c r="G93" s="38"/>
    </row>
    <row r="94" spans="3:7">
      <c r="C94" s="38"/>
      <c r="D94" s="38"/>
      <c r="E94" s="38"/>
      <c r="F94" s="38"/>
      <c r="G94" s="38"/>
    </row>
    <row r="95" spans="3:7">
      <c r="C95" s="38"/>
      <c r="D95" s="26" t="s">
        <v>35</v>
      </c>
      <c r="E95" s="26" t="s">
        <v>33</v>
      </c>
      <c r="F95" s="26" t="s">
        <v>34</v>
      </c>
      <c r="G95" s="38"/>
    </row>
    <row r="96" spans="3:7">
      <c r="C96" s="38"/>
      <c r="D96" s="23">
        <v>1001</v>
      </c>
      <c r="E96" s="24">
        <v>3</v>
      </c>
      <c r="F96" s="25">
        <v>45</v>
      </c>
      <c r="G96" s="38"/>
    </row>
    <row r="97" spans="3:7">
      <c r="C97" s="38"/>
      <c r="D97" s="23">
        <v>1002</v>
      </c>
      <c r="E97" s="24">
        <v>5</v>
      </c>
      <c r="F97" s="25">
        <v>75</v>
      </c>
      <c r="G97" s="38"/>
    </row>
    <row r="98" spans="3:7">
      <c r="C98" s="38"/>
      <c r="D98" s="23">
        <v>1003</v>
      </c>
      <c r="E98" s="24">
        <v>2</v>
      </c>
      <c r="F98" s="25">
        <v>30</v>
      </c>
      <c r="G98" s="38"/>
    </row>
    <row r="99" spans="3:7">
      <c r="C99" s="38"/>
      <c r="D99" s="23">
        <v>1004</v>
      </c>
      <c r="E99" s="24">
        <v>8</v>
      </c>
      <c r="F99" s="25">
        <v>120</v>
      </c>
      <c r="G99" s="38"/>
    </row>
    <row r="100" spans="3:7">
      <c r="C100" s="38"/>
      <c r="D100" s="23">
        <v>1005</v>
      </c>
      <c r="E100" s="24">
        <v>4</v>
      </c>
      <c r="F100" s="25">
        <v>60</v>
      </c>
      <c r="G100" s="38"/>
    </row>
    <row r="101" spans="3:7">
      <c r="C101" s="38"/>
      <c r="D101" s="23">
        <v>1006</v>
      </c>
      <c r="E101" s="24">
        <v>10</v>
      </c>
      <c r="F101" s="25">
        <v>150</v>
      </c>
      <c r="G101" s="38"/>
    </row>
    <row r="102" spans="3:7">
      <c r="C102" s="38"/>
      <c r="D102" s="23">
        <v>1007</v>
      </c>
      <c r="E102" s="24">
        <v>6</v>
      </c>
      <c r="F102" s="25">
        <v>90</v>
      </c>
      <c r="G102" s="38"/>
    </row>
    <row r="103" spans="3:7">
      <c r="C103" s="38"/>
      <c r="D103" s="23">
        <v>1008</v>
      </c>
      <c r="E103" s="24">
        <v>7</v>
      </c>
      <c r="F103" s="25">
        <v>105</v>
      </c>
      <c r="G103" s="38"/>
    </row>
    <row r="104" spans="3:7">
      <c r="C104" s="38"/>
      <c r="D104" s="23">
        <v>1009</v>
      </c>
      <c r="E104" s="24">
        <v>1</v>
      </c>
      <c r="F104" s="25">
        <v>15</v>
      </c>
      <c r="G104" s="38"/>
    </row>
    <row r="105" spans="3:7">
      <c r="C105" s="38"/>
      <c r="D105" s="23">
        <v>1010</v>
      </c>
      <c r="E105" s="24">
        <v>9</v>
      </c>
      <c r="F105" s="25">
        <v>135</v>
      </c>
      <c r="G105" s="38"/>
    </row>
    <row r="106" spans="3:7">
      <c r="C106" s="38"/>
      <c r="D106" s="23">
        <v>1011</v>
      </c>
      <c r="E106" s="24">
        <v>3</v>
      </c>
      <c r="F106" s="25">
        <v>45</v>
      </c>
      <c r="G106" s="38"/>
    </row>
    <row r="107" spans="3:7">
      <c r="C107" s="38"/>
      <c r="D107" s="23">
        <v>1012</v>
      </c>
      <c r="E107" s="24">
        <v>12</v>
      </c>
      <c r="F107" s="25">
        <v>180</v>
      </c>
      <c r="G107" s="38"/>
    </row>
    <row r="108" spans="3:7">
      <c r="C108" s="38"/>
      <c r="D108" s="23">
        <v>1013</v>
      </c>
      <c r="E108" s="24">
        <v>5</v>
      </c>
      <c r="F108" s="25">
        <v>75</v>
      </c>
      <c r="G108" s="38"/>
    </row>
    <row r="109" spans="3:7">
      <c r="C109" s="38"/>
      <c r="D109" s="23">
        <v>1014</v>
      </c>
      <c r="E109" s="24">
        <v>15</v>
      </c>
      <c r="F109" s="25">
        <v>225</v>
      </c>
      <c r="G109" s="38"/>
    </row>
    <row r="110" spans="3:7">
      <c r="C110" s="38"/>
      <c r="D110" s="23">
        <v>1015</v>
      </c>
      <c r="E110" s="24">
        <v>4</v>
      </c>
      <c r="F110" s="25">
        <v>60</v>
      </c>
      <c r="G110" s="38"/>
    </row>
    <row r="111" spans="3:7">
      <c r="C111" s="38"/>
      <c r="D111" s="23">
        <v>1016</v>
      </c>
      <c r="E111" s="24">
        <v>11</v>
      </c>
      <c r="F111" s="25">
        <v>165</v>
      </c>
      <c r="G111" s="38"/>
    </row>
    <row r="112" spans="3:7">
      <c r="C112" s="38"/>
      <c r="D112" s="23">
        <v>1017</v>
      </c>
      <c r="E112" s="24">
        <v>2</v>
      </c>
      <c r="F112" s="25">
        <v>30</v>
      </c>
      <c r="G112" s="38"/>
    </row>
    <row r="113" spans="3:12">
      <c r="C113" s="38"/>
      <c r="D113" s="23">
        <v>1018</v>
      </c>
      <c r="E113" s="24">
        <v>8</v>
      </c>
      <c r="F113" s="25">
        <v>120</v>
      </c>
      <c r="G113" s="38"/>
    </row>
    <row r="114" spans="3:12">
      <c r="C114" s="38"/>
      <c r="D114" s="23">
        <v>1019</v>
      </c>
      <c r="E114" s="24">
        <v>13</v>
      </c>
      <c r="F114" s="25">
        <v>195</v>
      </c>
      <c r="G114" s="38"/>
    </row>
    <row r="115" spans="3:12">
      <c r="C115" s="38"/>
      <c r="D115" s="23">
        <v>1020</v>
      </c>
      <c r="E115" s="24">
        <v>7</v>
      </c>
      <c r="F115" s="25">
        <v>105</v>
      </c>
      <c r="G115" s="38"/>
    </row>
    <row r="116" spans="3:12">
      <c r="C116" s="38"/>
      <c r="D116" s="23">
        <v>1021</v>
      </c>
      <c r="E116" s="24">
        <v>6</v>
      </c>
      <c r="F116" s="25">
        <v>90</v>
      </c>
      <c r="G116" s="38"/>
    </row>
    <row r="117" spans="3:12">
      <c r="C117" s="38"/>
      <c r="D117" s="23">
        <v>1022</v>
      </c>
      <c r="E117" s="24">
        <v>10</v>
      </c>
      <c r="F117" s="25">
        <v>150</v>
      </c>
      <c r="G117" s="38"/>
    </row>
    <row r="118" spans="3:12">
      <c r="C118" s="38"/>
      <c r="D118" s="23">
        <v>1023</v>
      </c>
      <c r="E118" s="24">
        <v>9</v>
      </c>
      <c r="F118" s="25">
        <v>135</v>
      </c>
      <c r="G118" s="38"/>
    </row>
    <row r="119" spans="3:12">
      <c r="C119" s="38"/>
      <c r="D119" s="23">
        <v>1024</v>
      </c>
      <c r="E119" s="24">
        <v>14</v>
      </c>
      <c r="F119" s="25">
        <v>210</v>
      </c>
      <c r="G119" s="38"/>
    </row>
    <row r="120" spans="3:12">
      <c r="C120" s="38"/>
      <c r="D120" s="23">
        <v>1025</v>
      </c>
      <c r="E120" s="24">
        <v>5</v>
      </c>
      <c r="F120" s="25">
        <v>75</v>
      </c>
      <c r="G120" s="38"/>
    </row>
    <row r="121" spans="3:12">
      <c r="C121" s="38"/>
      <c r="D121" s="23">
        <v>1026</v>
      </c>
      <c r="E121" s="24">
        <v>3</v>
      </c>
      <c r="F121" s="25">
        <v>45</v>
      </c>
      <c r="G121" s="38"/>
    </row>
    <row r="122" spans="3:12">
      <c r="C122" s="38"/>
      <c r="D122" s="23">
        <v>1027</v>
      </c>
      <c r="E122" s="24">
        <v>12</v>
      </c>
      <c r="F122" s="25">
        <v>180</v>
      </c>
      <c r="G122" s="38"/>
    </row>
    <row r="123" spans="3:12">
      <c r="C123" s="38"/>
      <c r="D123" s="23">
        <v>1028</v>
      </c>
      <c r="E123" s="24">
        <v>4</v>
      </c>
      <c r="F123" s="25">
        <v>60</v>
      </c>
      <c r="G123" s="38"/>
    </row>
    <row r="124" spans="3:12">
      <c r="C124" s="38"/>
      <c r="D124" s="23">
        <v>1029</v>
      </c>
      <c r="E124" s="24">
        <v>1</v>
      </c>
      <c r="F124" s="25">
        <v>15</v>
      </c>
      <c r="G124" s="38"/>
    </row>
    <row r="125" spans="3:12">
      <c r="C125" s="38"/>
      <c r="D125" s="23">
        <v>1030</v>
      </c>
      <c r="E125" s="24">
        <v>2</v>
      </c>
      <c r="F125" s="25">
        <v>30</v>
      </c>
      <c r="G125" s="38"/>
      <c r="H125" s="38"/>
      <c r="I125" s="38"/>
      <c r="J125" s="38"/>
      <c r="K125" s="38"/>
      <c r="L125" s="38"/>
    </row>
    <row r="126" spans="3:12">
      <c r="C126" s="38"/>
      <c r="D126" s="36" t="s">
        <v>29</v>
      </c>
      <c r="E126" s="34">
        <f>SUM(E96:E125)</f>
        <v>201</v>
      </c>
      <c r="F126" s="34">
        <f>SUM(F96:F125)</f>
        <v>3015</v>
      </c>
      <c r="G126" s="38"/>
      <c r="H126" s="38"/>
      <c r="I126" s="38"/>
      <c r="J126" s="38"/>
      <c r="K126" s="38"/>
      <c r="L126" s="38"/>
    </row>
    <row r="127" spans="3:12">
      <c r="C127" s="38"/>
      <c r="D127" s="37"/>
      <c r="E127" s="35"/>
      <c r="F127" s="35"/>
      <c r="G127" s="38"/>
      <c r="H127" s="38"/>
      <c r="I127" s="38"/>
      <c r="J127" s="38"/>
      <c r="K127" s="38"/>
      <c r="L127" s="38"/>
    </row>
    <row r="128" spans="3:12">
      <c r="D128" s="19"/>
      <c r="E128" s="19"/>
      <c r="F128" s="19"/>
      <c r="G128" s="38"/>
      <c r="H128" s="38"/>
      <c r="I128" s="38"/>
      <c r="J128" s="38"/>
      <c r="K128" s="38"/>
      <c r="L128" s="38"/>
    </row>
    <row r="129" spans="2:13">
      <c r="D129" s="19"/>
      <c r="E129" s="19"/>
      <c r="F129" s="19"/>
      <c r="G129" s="38"/>
      <c r="H129" s="38"/>
      <c r="I129" s="38"/>
      <c r="J129" s="38"/>
      <c r="K129" s="38"/>
      <c r="L129" s="38"/>
      <c r="M129" s="38"/>
    </row>
    <row r="130" spans="2:13">
      <c r="H130" s="38"/>
      <c r="I130" s="38"/>
      <c r="J130" s="38"/>
      <c r="K130" s="38"/>
      <c r="L130" s="38"/>
      <c r="M130" s="38"/>
    </row>
    <row r="131" spans="2:13">
      <c r="H131" s="38"/>
      <c r="I131" s="38"/>
      <c r="J131" s="38"/>
      <c r="K131" s="38"/>
      <c r="L131" s="38"/>
      <c r="M131" s="38"/>
    </row>
    <row r="132" spans="2:13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2:13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2:13">
      <c r="B134" s="38"/>
      <c r="C134" s="27" t="s">
        <v>30</v>
      </c>
      <c r="D134" s="27" t="s">
        <v>36</v>
      </c>
      <c r="E134" s="27" t="s">
        <v>37</v>
      </c>
      <c r="F134" s="27" t="s">
        <v>43</v>
      </c>
      <c r="G134" s="39"/>
      <c r="H134" s="38"/>
      <c r="I134" s="38"/>
      <c r="J134" s="38"/>
      <c r="K134" s="38"/>
      <c r="L134" s="38"/>
      <c r="M134" s="38"/>
    </row>
    <row r="135" spans="2:13">
      <c r="B135" s="38"/>
      <c r="C135" s="1">
        <v>1</v>
      </c>
      <c r="D135" s="28" t="s">
        <v>40</v>
      </c>
      <c r="E135" s="1">
        <v>8</v>
      </c>
      <c r="F135" s="29">
        <v>0.27</v>
      </c>
      <c r="G135" s="39"/>
      <c r="H135" s="38"/>
      <c r="I135" s="38"/>
      <c r="J135" s="38"/>
      <c r="K135" s="38"/>
      <c r="L135" s="38"/>
      <c r="M135" s="38"/>
    </row>
    <row r="136" spans="2:13">
      <c r="B136" s="38"/>
      <c r="C136" s="1">
        <v>2</v>
      </c>
      <c r="D136" s="1" t="s">
        <v>41</v>
      </c>
      <c r="E136" s="1">
        <v>8</v>
      </c>
      <c r="F136" s="29">
        <v>0.28000000000000003</v>
      </c>
      <c r="G136" s="39"/>
      <c r="H136" s="38"/>
      <c r="I136" s="38"/>
      <c r="J136" s="38"/>
      <c r="K136" s="38"/>
      <c r="L136" s="38"/>
      <c r="M136" s="38"/>
    </row>
    <row r="137" spans="2:13">
      <c r="B137" s="38"/>
      <c r="C137" s="1">
        <v>3</v>
      </c>
      <c r="D137" s="1" t="s">
        <v>38</v>
      </c>
      <c r="E137" s="1">
        <v>7</v>
      </c>
      <c r="F137" s="29">
        <v>0.24</v>
      </c>
      <c r="G137" s="39"/>
      <c r="H137" s="38"/>
      <c r="I137" s="38"/>
      <c r="J137" s="38"/>
      <c r="K137" s="38"/>
      <c r="L137" s="38"/>
      <c r="M137" s="38"/>
    </row>
    <row r="138" spans="2:13">
      <c r="B138" s="38"/>
      <c r="C138" s="1">
        <v>4</v>
      </c>
      <c r="D138" s="1" t="s">
        <v>42</v>
      </c>
      <c r="E138" s="1">
        <v>4</v>
      </c>
      <c r="F138" s="29">
        <v>0.14000000000000001</v>
      </c>
      <c r="G138" s="39"/>
      <c r="H138" s="38"/>
      <c r="I138" s="38"/>
      <c r="J138" s="38"/>
      <c r="K138" s="38"/>
      <c r="L138" s="38"/>
      <c r="M138" s="38"/>
    </row>
    <row r="139" spans="2:13">
      <c r="B139" s="38"/>
      <c r="C139" s="1">
        <v>5</v>
      </c>
      <c r="D139" s="1" t="s">
        <v>39</v>
      </c>
      <c r="E139" s="1">
        <v>2</v>
      </c>
      <c r="F139" s="29">
        <v>7.0000000000000007E-2</v>
      </c>
      <c r="G139" s="39"/>
      <c r="H139" s="38"/>
      <c r="I139" s="38"/>
      <c r="J139" s="38"/>
      <c r="K139" s="38"/>
      <c r="L139" s="38"/>
      <c r="M139" s="38"/>
    </row>
    <row r="140" spans="2:13">
      <c r="B140" s="38"/>
      <c r="C140" s="40" t="s">
        <v>29</v>
      </c>
      <c r="D140" s="41"/>
      <c r="E140" s="42">
        <f>SUM(E135:E139)</f>
        <v>29</v>
      </c>
      <c r="F140" s="43">
        <f>SUM(F135:F139)</f>
        <v>1</v>
      </c>
      <c r="G140" s="39"/>
      <c r="H140" s="38"/>
      <c r="I140" s="38"/>
      <c r="J140" s="38"/>
      <c r="K140" s="38"/>
      <c r="L140" s="38"/>
      <c r="M140" s="38"/>
    </row>
    <row r="141" spans="2:13">
      <c r="B141" s="38"/>
      <c r="C141" s="40"/>
      <c r="D141" s="41"/>
      <c r="E141" s="42"/>
      <c r="F141" s="42"/>
      <c r="G141" s="39"/>
      <c r="H141" s="38"/>
      <c r="I141" s="38"/>
      <c r="J141" s="38"/>
      <c r="K141" s="38"/>
      <c r="L141" s="38"/>
      <c r="M141" s="38"/>
    </row>
    <row r="142" spans="2:13"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</row>
    <row r="143" spans="2:13"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</row>
    <row r="144" spans="2:13">
      <c r="H144" s="38"/>
      <c r="I144" s="38"/>
      <c r="J144" s="38"/>
      <c r="K144" s="38"/>
      <c r="L144" s="38"/>
      <c r="M144" s="38"/>
    </row>
    <row r="145" spans="7:12">
      <c r="G145" s="38"/>
      <c r="H145" s="38"/>
      <c r="I145" s="38"/>
      <c r="J145" s="38"/>
      <c r="K145" s="38"/>
      <c r="L145" s="38"/>
    </row>
    <row r="146" spans="7:12">
      <c r="G146" s="38"/>
      <c r="H146" s="38"/>
      <c r="I146" s="38"/>
      <c r="J146" s="38"/>
      <c r="K146" s="38"/>
      <c r="L146" s="38"/>
    </row>
    <row r="147" spans="7:12">
      <c r="G147" s="38"/>
      <c r="H147" s="38"/>
      <c r="I147" s="38"/>
      <c r="J147" s="38"/>
      <c r="K147" s="38"/>
      <c r="L147" s="38"/>
    </row>
    <row r="183" spans="4:9">
      <c r="D183" s="38"/>
      <c r="E183" s="38"/>
      <c r="F183" s="38"/>
      <c r="G183" s="38"/>
      <c r="H183" s="38"/>
      <c r="I183" s="38"/>
    </row>
    <row r="184" spans="4:9">
      <c r="D184" s="38"/>
      <c r="E184" s="38"/>
      <c r="F184" s="38"/>
      <c r="G184" s="38"/>
      <c r="H184" s="38"/>
      <c r="I184" s="38"/>
    </row>
    <row r="185" spans="4:9">
      <c r="D185" s="38"/>
      <c r="E185" s="27" t="s">
        <v>30</v>
      </c>
      <c r="F185" s="27" t="s">
        <v>36</v>
      </c>
      <c r="G185" s="27" t="s">
        <v>44</v>
      </c>
      <c r="H185" s="27" t="s">
        <v>43</v>
      </c>
      <c r="I185" s="39"/>
    </row>
    <row r="186" spans="4:9">
      <c r="D186" s="38"/>
      <c r="E186" s="1">
        <v>1</v>
      </c>
      <c r="F186" s="28" t="s">
        <v>45</v>
      </c>
      <c r="G186" s="1"/>
      <c r="H186" s="29"/>
      <c r="I186" s="39"/>
    </row>
    <row r="187" spans="4:9">
      <c r="D187" s="38"/>
      <c r="E187" s="1">
        <v>2</v>
      </c>
      <c r="F187" s="1"/>
      <c r="G187" s="1"/>
      <c r="H187" s="29"/>
      <c r="I187" s="39"/>
    </row>
    <row r="188" spans="4:9">
      <c r="D188" s="38"/>
      <c r="E188" s="1">
        <v>3</v>
      </c>
      <c r="F188" s="1" t="s">
        <v>38</v>
      </c>
      <c r="G188" s="1"/>
      <c r="H188" s="29"/>
      <c r="I188" s="39"/>
    </row>
    <row r="189" spans="4:9">
      <c r="D189" s="38"/>
      <c r="E189" s="1">
        <v>4</v>
      </c>
      <c r="F189" s="1" t="s">
        <v>42</v>
      </c>
      <c r="G189" s="1"/>
      <c r="H189" s="29"/>
      <c r="I189" s="39"/>
    </row>
    <row r="190" spans="4:9">
      <c r="D190" s="38"/>
      <c r="E190" s="1">
        <v>5</v>
      </c>
      <c r="F190" s="1" t="s">
        <v>39</v>
      </c>
      <c r="G190" s="1"/>
      <c r="H190" s="29"/>
      <c r="I190" s="39"/>
    </row>
    <row r="191" spans="4:9">
      <c r="D191" s="38"/>
      <c r="E191" s="40" t="s">
        <v>29</v>
      </c>
      <c r="F191" s="41"/>
      <c r="G191" s="42"/>
      <c r="H191" s="43">
        <f>SUM(H186:H190)</f>
        <v>0</v>
      </c>
      <c r="I191" s="39"/>
    </row>
    <row r="192" spans="4:9">
      <c r="D192" s="38"/>
      <c r="E192" s="40"/>
      <c r="F192" s="41"/>
      <c r="G192" s="42"/>
      <c r="H192" s="42"/>
      <c r="I192" s="39"/>
    </row>
    <row r="193" spans="4:9">
      <c r="D193" s="38"/>
      <c r="E193" s="38"/>
      <c r="F193" s="38"/>
      <c r="G193" s="38"/>
      <c r="H193" s="38"/>
      <c r="I193" s="38"/>
    </row>
    <row r="194" spans="4:9">
      <c r="D194" s="38"/>
      <c r="E194" s="38"/>
      <c r="F194" s="38"/>
      <c r="G194" s="38"/>
      <c r="H194" s="38"/>
      <c r="I194" s="38"/>
    </row>
    <row r="200" spans="4:9">
      <c r="D200" s="26" t="s">
        <v>35</v>
      </c>
      <c r="E200" s="26" t="s">
        <v>33</v>
      </c>
      <c r="F200" s="26" t="s">
        <v>34</v>
      </c>
    </row>
    <row r="201" spans="4:9">
      <c r="D201" s="23">
        <v>1001</v>
      </c>
      <c r="E201" s="24">
        <v>3</v>
      </c>
      <c r="F201" s="25">
        <v>45</v>
      </c>
    </row>
    <row r="202" spans="4:9">
      <c r="D202" s="23">
        <v>1002</v>
      </c>
      <c r="E202" s="24">
        <v>5</v>
      </c>
      <c r="F202" s="25">
        <v>75</v>
      </c>
    </row>
    <row r="203" spans="4:9">
      <c r="D203" s="23">
        <v>1003</v>
      </c>
      <c r="E203" s="24">
        <v>2</v>
      </c>
      <c r="F203" s="25">
        <v>30</v>
      </c>
    </row>
    <row r="204" spans="4:9">
      <c r="D204" s="23">
        <v>1004</v>
      </c>
      <c r="E204" s="24">
        <v>8</v>
      </c>
      <c r="F204" s="25">
        <v>120</v>
      </c>
    </row>
    <row r="205" spans="4:9">
      <c r="D205" s="23">
        <v>1005</v>
      </c>
      <c r="E205" s="24">
        <v>4</v>
      </c>
      <c r="F205" s="25">
        <v>60</v>
      </c>
    </row>
    <row r="206" spans="4:9">
      <c r="D206" s="23">
        <v>1006</v>
      </c>
      <c r="E206" s="24">
        <v>10</v>
      </c>
      <c r="F206" s="25">
        <v>150</v>
      </c>
    </row>
    <row r="207" spans="4:9">
      <c r="D207" s="23">
        <v>1007</v>
      </c>
      <c r="E207" s="24">
        <v>6</v>
      </c>
      <c r="F207" s="25">
        <v>90</v>
      </c>
    </row>
    <row r="208" spans="4:9">
      <c r="D208" s="23">
        <v>1008</v>
      </c>
      <c r="E208" s="24">
        <v>7</v>
      </c>
      <c r="F208" s="25">
        <v>105</v>
      </c>
    </row>
    <row r="209" spans="4:6">
      <c r="D209" s="23">
        <v>1009</v>
      </c>
      <c r="E209" s="24">
        <v>1</v>
      </c>
      <c r="F209" s="25">
        <v>15</v>
      </c>
    </row>
    <row r="210" spans="4:6">
      <c r="D210" s="23">
        <v>1010</v>
      </c>
      <c r="E210" s="24">
        <v>9</v>
      </c>
      <c r="F210" s="25">
        <v>135</v>
      </c>
    </row>
    <row r="211" spans="4:6">
      <c r="D211" s="23">
        <v>1011</v>
      </c>
      <c r="E211" s="24">
        <v>3</v>
      </c>
      <c r="F211" s="25">
        <v>45</v>
      </c>
    </row>
    <row r="212" spans="4:6">
      <c r="D212" s="23">
        <v>1012</v>
      </c>
      <c r="E212" s="24">
        <v>12</v>
      </c>
      <c r="F212" s="25">
        <v>180</v>
      </c>
    </row>
    <row r="213" spans="4:6">
      <c r="D213" s="23">
        <v>1013</v>
      </c>
      <c r="E213" s="24">
        <v>5</v>
      </c>
      <c r="F213" s="25">
        <v>75</v>
      </c>
    </row>
    <row r="214" spans="4:6">
      <c r="D214" s="23">
        <v>1014</v>
      </c>
      <c r="E214" s="24">
        <v>15</v>
      </c>
      <c r="F214" s="25">
        <v>225</v>
      </c>
    </row>
    <row r="215" spans="4:6">
      <c r="D215" s="23">
        <v>1015</v>
      </c>
      <c r="E215" s="24">
        <v>4</v>
      </c>
      <c r="F215" s="25">
        <v>60</v>
      </c>
    </row>
    <row r="216" spans="4:6">
      <c r="D216" s="23">
        <v>1016</v>
      </c>
      <c r="E216" s="24">
        <v>11</v>
      </c>
      <c r="F216" s="25">
        <v>165</v>
      </c>
    </row>
    <row r="217" spans="4:6">
      <c r="D217" s="23">
        <v>1017</v>
      </c>
      <c r="E217" s="24">
        <v>2</v>
      </c>
      <c r="F217" s="25">
        <v>30</v>
      </c>
    </row>
    <row r="218" spans="4:6">
      <c r="D218" s="23">
        <v>1018</v>
      </c>
      <c r="E218" s="24">
        <v>8</v>
      </c>
      <c r="F218" s="25">
        <v>120</v>
      </c>
    </row>
    <row r="219" spans="4:6">
      <c r="D219" s="23">
        <v>1019</v>
      </c>
      <c r="E219" s="24">
        <v>13</v>
      </c>
      <c r="F219" s="25">
        <v>195</v>
      </c>
    </row>
    <row r="220" spans="4:6">
      <c r="D220" s="23">
        <v>1020</v>
      </c>
      <c r="E220" s="24">
        <v>7</v>
      </c>
      <c r="F220" s="25">
        <v>105</v>
      </c>
    </row>
    <row r="221" spans="4:6">
      <c r="D221" s="23">
        <v>1021</v>
      </c>
      <c r="E221" s="24">
        <v>6</v>
      </c>
      <c r="F221" s="25">
        <v>90</v>
      </c>
    </row>
    <row r="222" spans="4:6">
      <c r="D222" s="23">
        <v>1022</v>
      </c>
      <c r="E222" s="24">
        <v>10</v>
      </c>
      <c r="F222" s="25">
        <v>150</v>
      </c>
    </row>
    <row r="223" spans="4:6">
      <c r="D223" s="23">
        <v>1023</v>
      </c>
      <c r="E223" s="24">
        <v>9</v>
      </c>
      <c r="F223" s="25">
        <v>135</v>
      </c>
    </row>
    <row r="224" spans="4:6">
      <c r="D224" s="23">
        <v>1024</v>
      </c>
      <c r="E224" s="24">
        <v>14</v>
      </c>
      <c r="F224" s="25">
        <v>210</v>
      </c>
    </row>
    <row r="225" spans="4:6">
      <c r="D225" s="23">
        <v>1025</v>
      </c>
      <c r="E225" s="24">
        <v>5</v>
      </c>
      <c r="F225" s="25">
        <v>75</v>
      </c>
    </row>
    <row r="226" spans="4:6">
      <c r="D226" s="23">
        <v>1026</v>
      </c>
      <c r="E226" s="24">
        <v>3</v>
      </c>
      <c r="F226" s="25">
        <v>45</v>
      </c>
    </row>
    <row r="227" spans="4:6">
      <c r="D227" s="23">
        <v>1027</v>
      </c>
      <c r="E227" s="24">
        <v>12</v>
      </c>
      <c r="F227" s="25">
        <v>180</v>
      </c>
    </row>
    <row r="228" spans="4:6">
      <c r="D228" s="23">
        <v>1028</v>
      </c>
      <c r="E228" s="24">
        <v>4</v>
      </c>
      <c r="F228" s="25">
        <v>60</v>
      </c>
    </row>
    <row r="229" spans="4:6">
      <c r="D229" s="23">
        <v>1029</v>
      </c>
      <c r="E229" s="24">
        <v>1</v>
      </c>
      <c r="F229" s="25">
        <v>15</v>
      </c>
    </row>
    <row r="230" spans="4:6">
      <c r="D230" s="23">
        <v>1030</v>
      </c>
      <c r="E230" s="24">
        <v>2</v>
      </c>
      <c r="F230" s="25">
        <v>30</v>
      </c>
    </row>
    <row r="231" spans="4:6">
      <c r="D231" s="36" t="s">
        <v>29</v>
      </c>
      <c r="E231" s="34">
        <f>SUM(E201:E230)</f>
        <v>201</v>
      </c>
      <c r="F231" s="34">
        <f>SUM(F201:F230)</f>
        <v>3015</v>
      </c>
    </row>
    <row r="232" spans="4:6">
      <c r="D232" s="37"/>
      <c r="E232" s="35"/>
      <c r="F232" s="35"/>
    </row>
  </sheetData>
  <mergeCells count="29">
    <mergeCell ref="E49:L50"/>
    <mergeCell ref="C94:C127"/>
    <mergeCell ref="D93:G94"/>
    <mergeCell ref="G95:G129"/>
    <mergeCell ref="D126:D127"/>
    <mergeCell ref="E126:E127"/>
    <mergeCell ref="F126:F127"/>
    <mergeCell ref="C140:C141"/>
    <mergeCell ref="D140:D141"/>
    <mergeCell ref="E140:E141"/>
    <mergeCell ref="F140:F141"/>
    <mergeCell ref="B132:G133"/>
    <mergeCell ref="B134:B143"/>
    <mergeCell ref="C142:G143"/>
    <mergeCell ref="G134:G141"/>
    <mergeCell ref="F231:F232"/>
    <mergeCell ref="D231:D232"/>
    <mergeCell ref="E231:E232"/>
    <mergeCell ref="G145:L147"/>
    <mergeCell ref="H125:L128"/>
    <mergeCell ref="H129:M144"/>
    <mergeCell ref="D183:I184"/>
    <mergeCell ref="D185:D194"/>
    <mergeCell ref="I185:I192"/>
    <mergeCell ref="E191:E192"/>
    <mergeCell ref="F191:F192"/>
    <mergeCell ref="G191:G192"/>
    <mergeCell ref="H191:H192"/>
    <mergeCell ref="E193:I19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>
    <row r="1" spans="1:1">
      <c r="A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sharan kumar parepalli</dc:creator>
  <cp:keywords/>
  <dc:description/>
  <cp:lastModifiedBy>Sharan Kumar</cp:lastModifiedBy>
  <cp:revision/>
  <cp:lastPrinted>2024-11-10T11:58:16Z</cp:lastPrinted>
  <dcterms:created xsi:type="dcterms:W3CDTF">2024-04-06T08:59:56Z</dcterms:created>
  <dcterms:modified xsi:type="dcterms:W3CDTF">2024-11-10T13:11:02Z</dcterms:modified>
  <cp:category/>
  <cp:contentStatus/>
</cp:coreProperties>
</file>